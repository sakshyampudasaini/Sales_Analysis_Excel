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t\"/>
    </mc:Choice>
  </mc:AlternateContent>
  <xr:revisionPtr revIDLastSave="0" documentId="13_ncr:1_{4AF3D14D-F066-413A-B78E-C30FF1C1D307}" xr6:coauthVersionLast="47" xr6:coauthVersionMax="47" xr10:uidLastSave="{00000000-0000-0000-0000-000000000000}"/>
  <bookViews>
    <workbookView xWindow="-120" yWindow="-120" windowWidth="20730" windowHeight="11160" activeTab="3" xr2:uid="{7E193B6E-849C-46E3-BA52-AD57E9A8CDD1}"/>
  </bookViews>
  <sheets>
    <sheet name="Sheet2" sheetId="2" r:id="rId1"/>
    <sheet name="Sheet3" sheetId="3" r:id="rId2"/>
    <sheet name="insights" sheetId="5" r:id="rId3"/>
    <sheet name="Dashboard" sheetId="4" r:id="rId4"/>
    <sheet name="Sheet1" sheetId="1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<sst xmlns="http://schemas.openxmlformats.org/spreadsheetml/2006/main" count="91" uniqueCount="52">
  <si>
    <t>OrderID</t>
  </si>
  <si>
    <t>Customer Name</t>
  </si>
  <si>
    <t>Product</t>
  </si>
  <si>
    <t>Qty</t>
  </si>
  <si>
    <t>Order_Date</t>
  </si>
  <si>
    <t>Region</t>
  </si>
  <si>
    <t>Status</t>
  </si>
  <si>
    <t>Notes</t>
  </si>
  <si>
    <t>Laptop Pro</t>
  </si>
  <si>
    <t>North</t>
  </si>
  <si>
    <t>Delivered</t>
  </si>
  <si>
    <t>Wireless Mouse</t>
  </si>
  <si>
    <t>South</t>
  </si>
  <si>
    <t>Pending</t>
  </si>
  <si>
    <t>Keyboard</t>
  </si>
  <si>
    <t>East</t>
  </si>
  <si>
    <t>Shipped</t>
  </si>
  <si>
    <t>Lisa Chen</t>
  </si>
  <si>
    <t>West</t>
  </si>
  <si>
    <t>Cancelled</t>
  </si>
  <si>
    <t>John Smith</t>
  </si>
  <si>
    <t>Sarah Johnson</t>
  </si>
  <si>
    <t>Mary Jones</t>
  </si>
  <si>
    <t>David Brown</t>
  </si>
  <si>
    <t>Tom Wilson</t>
  </si>
  <si>
    <t>James Miller</t>
  </si>
  <si>
    <t>On Time</t>
  </si>
  <si>
    <t>Urgent Order</t>
  </si>
  <si>
    <t>Repeat Customer</t>
  </si>
  <si>
    <t/>
  </si>
  <si>
    <t>Wrong Item</t>
  </si>
  <si>
    <t>Corporate Account</t>
  </si>
  <si>
    <t>Bulk Discount Applied</t>
  </si>
  <si>
    <t>Monitor</t>
  </si>
  <si>
    <t>Usb-C Cable</t>
  </si>
  <si>
    <t>Price(Usd)</t>
  </si>
  <si>
    <t>1200.5</t>
  </si>
  <si>
    <t>45.99</t>
  </si>
  <si>
    <t>89.99</t>
  </si>
  <si>
    <t>350</t>
  </si>
  <si>
    <t>19.99</t>
  </si>
  <si>
    <t>Anna Davis</t>
  </si>
  <si>
    <t>Total Sales</t>
  </si>
  <si>
    <t>Order_Month</t>
  </si>
  <si>
    <t>Row Labels</t>
  </si>
  <si>
    <t>Grand Total</t>
  </si>
  <si>
    <t>Sum of Total Sales</t>
  </si>
  <si>
    <t>Observation/Insights</t>
  </si>
  <si>
    <t>Laptop Pro generates the highest revenue; 4802 USD</t>
  </si>
  <si>
    <t>North region has the highest sales: 3693.48 USD</t>
  </si>
  <si>
    <t>USB-C Cable generates the lowest revenue;199.9 USD</t>
  </si>
  <si>
    <t>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</si>
</sst>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0" xfId="0" applyFont="1" applyFill="1" applyBorder="1" applyAlignment="1">
      <alignment horizontal="left" vertical="center" wrapText="1" indent="1"/>
    </xf>
    <xf numFmtId="0" fontId="4" fillId="2" borderId="0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44" fontId="3" fillId="2" borderId="0" xfId="1" applyFont="1" applyFill="1" applyBorder="1" applyAlignment="1">
      <alignment horizontal="left" vertical="center" wrapText="1" indent="1"/>
    </xf>
    <xf numFmtId="44" fontId="0" fillId="0" borderId="0" xfId="1" applyFont="1"/>
    <xf numFmtId="164" fontId="4" fillId="2" borderId="0" xfId="0" applyNumberFormat="1" applyFont="1" applyFill="1" applyBorder="1" applyAlignment="1">
      <alignment horizontal="left" vertical="center" wrapText="1" indent="1"/>
    </xf>
    <xf numFmtId="164" fontId="0" fillId="0" borderId="0" xfId="0" applyNumberFormat="1"/>
    <xf numFmtId="0" fontId="5" fillId="3" borderId="0" xfId="0" applyFont="1" applyFill="1" applyBorder="1" applyAlignment="1">
      <alignment horizontal="left" vertical="center" wrapText="1" indent="1"/>
    </xf>
    <xf numFmtId="44" fontId="5" fillId="3" borderId="0" xfId="1" applyFont="1" applyFill="1" applyBorder="1" applyAlignment="1">
      <alignment horizontal="left" vertical="center" wrapText="1" indent="1"/>
    </xf>
    <xf numFmtId="164" fontId="5" fillId="3" borderId="0" xfId="0" applyNumberFormat="1" applyFont="1" applyFill="1" applyBorder="1" applyAlignment="1">
      <alignment horizontal="left" vertical="center" wrapText="1" indent="1"/>
    </xf>
    <xf numFmtId="0" fontId="2" fillId="3" borderId="0" xfId="0" applyFont="1" applyFill="1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[excel_sales_analysis_final.xlsx]Sheet2!PivotTable1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Keyboard</c:v>
                </c:pt>
                <c:pt idx="1">
                  <c:v>Laptop Pro</c:v>
                </c:pt>
                <c:pt idx="2">
                  <c:v>Monitor</c:v>
                </c:pt>
                <c:pt idx="3">
                  <c:v>Usb-C Cable</c:v>
                </c:pt>
                <c:pt idx="4">
                  <c:v>Wireless Mouse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269.96999999999997</c:v>
                </c:pt>
                <c:pt idx="1">
                  <c:v>4802</c:v>
                </c:pt>
                <c:pt idx="2">
                  <c:v>1400</c:v>
                </c:pt>
                <c:pt idx="3">
                  <c:v>199.89999999999998</c:v>
                </c:pt>
                <c:pt idx="4">
                  <c:v>321.93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7-495B-A722-6007081FD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93824"/>
        <c:axId val="126790944"/>
      </c:barChart>
      <c:catAx>
        <c:axId val="12679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90944"/>
        <c:crosses val="autoZero"/>
        <c:auto val="1"/>
        <c:lblAlgn val="ctr"/>
        <c:lblOffset val="100"/>
        <c:noMultiLvlLbl val="0"/>
      </c:catAx>
      <c:valAx>
        <c:axId val="12679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9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[excel_sales_analysis_final.xlsx]Sheet3!PivotTable2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1290.49</c:v>
                </c:pt>
                <c:pt idx="1">
                  <c:v>3693.48</c:v>
                </c:pt>
                <c:pt idx="2">
                  <c:v>609.83000000000004</c:v>
                </c:pt>
                <c:pt idx="3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7-4F5B-8FBF-9B6E24B81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801504"/>
        <c:axId val="126801984"/>
      </c:barChart>
      <c:catAx>
        <c:axId val="12680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1984"/>
        <c:crosses val="autoZero"/>
        <c:auto val="1"/>
        <c:lblAlgn val="ctr"/>
        <c:lblOffset val="100"/>
        <c:noMultiLvlLbl val="0"/>
      </c:catAx>
      <c:valAx>
        <c:axId val="12680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C8AF6-F1D2-41E0-B9B4-D635BC1BB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396D6F-B3DD-42C9-9FE3-45CA19052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yam Pudasaini" refreshedDate="46008.819851273147" createdVersion="8" refreshedVersion="8" minRefreshableVersion="3" recordCount="10" xr:uid="{BDFC9C06-8361-404A-8B7A-157985F37907}">
  <cacheSource type="worksheet">
    <worksheetSource ref="A1:K11" sheet="Sheet1"/>
  </cacheSource>
  <cacheFields count="11">
    <cacheField name="OrderID" numFmtId="0">
      <sharedItems containsSemiMixedTypes="0" containsString="0" containsNumber="1" containsInteger="1" minValue="1001" maxValue="1010"/>
    </cacheField>
    <cacheField name="Customer Name" numFmtId="0">
      <sharedItems/>
    </cacheField>
    <cacheField name="Product" numFmtId="0">
      <sharedItems count="5">
        <s v="Laptop Pro"/>
        <s v="Wireless Mouse"/>
        <s v="Keyboard"/>
        <s v="Monitor"/>
        <s v="Usb-C Cable"/>
      </sharedItems>
    </cacheField>
    <cacheField name="Qty" numFmtId="0">
      <sharedItems containsSemiMixedTypes="0" containsString="0" containsNumber="1" containsInteger="1" minValue="1" maxValue="10"/>
    </cacheField>
    <cacheField name="Price(Usd)" numFmtId="44">
      <sharedItems/>
    </cacheField>
    <cacheField name="Order_Date" numFmtId="164">
      <sharedItems containsSemiMixedTypes="0" containsNonDate="0" containsDate="1" containsString="0" minDate="2024-01-14T00:00:00" maxDate="2024-12-16T00:00:00"/>
    </cacheField>
    <cacheField name="Region" numFmtId="0">
      <sharedItems count="4">
        <s v="North"/>
        <s v="South"/>
        <s v="East"/>
        <s v="West"/>
      </sharedItems>
    </cacheField>
    <cacheField name="Status" numFmtId="0">
      <sharedItems/>
    </cacheField>
    <cacheField name="Notes" numFmtId="0">
      <sharedItems/>
    </cacheField>
    <cacheField name="Total Sales" numFmtId="2">
      <sharedItems containsSemiMixedTypes="0" containsString="0" containsNumber="1" minValue="89.99" maxValue="2401"/>
    </cacheField>
    <cacheField name="Order_Month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s v="John Smith"/>
    <x v="0"/>
    <n v="2"/>
    <s v="1200.5"/>
    <d v="2024-07-15T00:00:00"/>
    <x v="0"/>
    <s v="Delivered"/>
    <s v="On Time"/>
    <n v="2401"/>
    <n v="7"/>
  </r>
  <r>
    <n v="1002"/>
    <s v="Sarah Johnson"/>
    <x v="1"/>
    <n v="5"/>
    <s v="45.99"/>
    <d v="2024-03-15T00:00:00"/>
    <x v="1"/>
    <s v="Pending"/>
    <s v="Urgent Order"/>
    <n v="229.95000000000002"/>
    <n v="3"/>
  </r>
  <r>
    <n v="1003"/>
    <s v="Mary Jones"/>
    <x v="2"/>
    <n v="1"/>
    <s v="89.99"/>
    <d v="2024-03-16T00:00:00"/>
    <x v="2"/>
    <s v="Delivered"/>
    <s v="Repeat Customer"/>
    <n v="89.99"/>
    <n v="3"/>
  </r>
  <r>
    <n v="1004"/>
    <s v="David Brown"/>
    <x v="0"/>
    <n v="1"/>
    <s v="1200.5"/>
    <d v="2024-09-14T00:00:00"/>
    <x v="0"/>
    <s v="Shipped"/>
    <s v=""/>
    <n v="1200.5"/>
    <n v="9"/>
  </r>
  <r>
    <n v="1005"/>
    <s v="Lisa Chen"/>
    <x v="3"/>
    <n v="3"/>
    <s v="350"/>
    <d v="2024-10-15T00:00:00"/>
    <x v="3"/>
    <s v="Delivered"/>
    <s v=""/>
    <n v="1050"/>
    <n v="10"/>
  </r>
  <r>
    <n v="1006"/>
    <s v="Tom Wilson"/>
    <x v="4"/>
    <n v="10"/>
    <s v="19.99"/>
    <d v="2024-11-14T00:00:00"/>
    <x v="1"/>
    <s v="Cancelled"/>
    <s v="Wrong Item"/>
    <n v="199.89999999999998"/>
    <n v="11"/>
  </r>
  <r>
    <n v="1007"/>
    <s v="Anna Davis"/>
    <x v="0"/>
    <n v="1"/>
    <s v="1200.5"/>
    <d v="2024-12-15T00:00:00"/>
    <x v="2"/>
    <s v="Delivered"/>
    <s v="Corporate Account"/>
    <n v="1200.5"/>
    <n v="12"/>
  </r>
  <r>
    <n v="1008"/>
    <s v="James Miller"/>
    <x v="1"/>
    <n v="2"/>
    <s v="45.99"/>
    <d v="2024-01-14T00:00:00"/>
    <x v="0"/>
    <s v="Pending"/>
    <s v=""/>
    <n v="91.98"/>
    <n v="1"/>
  </r>
  <r>
    <n v="1009"/>
    <s v="Sarah Johnson"/>
    <x v="2"/>
    <n v="2"/>
    <s v="89.99"/>
    <d v="2024-02-14T00:00:00"/>
    <x v="1"/>
    <s v="Delivered"/>
    <s v="Bulk Discount Applied"/>
    <n v="179.98"/>
    <n v="2"/>
  </r>
  <r>
    <n v="1010"/>
    <s v="John Smith"/>
    <x v="3"/>
    <n v="1"/>
    <s v="350"/>
    <d v="2024-03-16T00:00:00"/>
    <x v="3"/>
    <s v="Delivered"/>
    <s v=""/>
    <n v="35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312C2-7099-4B47-A477-F219F11B0A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1"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showAll="0"/>
    <pivotField numFmtId="164" showAll="0"/>
    <pivotField showAll="0"/>
    <pivotField showAll="0"/>
    <pivotField showAll="0"/>
    <pivotField dataField="1" numFmtId="2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3CC25-D0E5-41B7-AEB3-26B5B78AB92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1">
    <pivotField showAll="0"/>
    <pivotField showAll="0"/>
    <pivotField showAll="0"/>
    <pivotField showAll="0"/>
    <pivotField showAll="0"/>
    <pivotField numFmtId="16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numFmtId="2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C5C3-4414-4656-AC1E-0B14E36B9D2B}">
  <dimension ref="A3:B9"/>
  <sheetViews>
    <sheetView workbookViewId="0">
      <selection activeCell="B7" sqref="A3:B9"/>
    </sheetView>
  </sheetViews>
  <sheetFormatPr defaultRowHeight="15" x14ac:dyDescent="0.25"/>
  <cols>
    <col min="1" max="1" width="15" bestFit="1" customWidth="1"/>
    <col min="2" max="2" width="17.7109375" bestFit="1" customWidth="1"/>
  </cols>
  <sheetData>
    <row r="3" spans="1:2" x14ac:dyDescent="0.25">
      <c r="A3" s="14" t="s">
        <v>44</v>
      </c>
      <c r="B3" t="s">
        <v>46</v>
      </c>
    </row>
    <row r="4" spans="1:2" x14ac:dyDescent="0.25">
      <c r="A4" s="15" t="s">
        <v>14</v>
      </c>
      <c r="B4" s="12">
        <v>269.96999999999997</v>
      </c>
    </row>
    <row r="5" spans="1:2" x14ac:dyDescent="0.25">
      <c r="A5" s="15" t="s">
        <v>8</v>
      </c>
      <c r="B5" s="12">
        <v>4802</v>
      </c>
    </row>
    <row r="6" spans="1:2" x14ac:dyDescent="0.25">
      <c r="A6" s="15" t="s">
        <v>33</v>
      </c>
      <c r="B6" s="12">
        <v>1400</v>
      </c>
    </row>
    <row r="7" spans="1:2" x14ac:dyDescent="0.25">
      <c r="A7" s="15" t="s">
        <v>34</v>
      </c>
      <c r="B7" s="12">
        <v>199.89999999999998</v>
      </c>
    </row>
    <row r="8" spans="1:2" x14ac:dyDescent="0.25">
      <c r="A8" s="15" t="s">
        <v>11</v>
      </c>
      <c r="B8" s="12">
        <v>321.93</v>
      </c>
    </row>
    <row r="9" spans="1:2" x14ac:dyDescent="0.25">
      <c r="A9" s="15" t="s">
        <v>45</v>
      </c>
      <c r="B9" s="12">
        <v>6993.8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4E91-F2CC-4827-88EF-F27D04B8857A}">
  <dimension ref="A3:B8"/>
  <sheetViews>
    <sheetView workbookViewId="0">
      <selection activeCell="A5" sqref="A3:B8"/>
    </sheetView>
  </sheetViews>
  <sheetFormatPr defaultRowHeight="15" x14ac:dyDescent="0.25"/>
  <cols>
    <col min="1" max="1" width="13.42578125" bestFit="1" customWidth="1"/>
    <col min="2" max="2" width="17.7109375" bestFit="1" customWidth="1"/>
  </cols>
  <sheetData>
    <row r="3" spans="1:2" x14ac:dyDescent="0.25">
      <c r="A3" s="14" t="s">
        <v>44</v>
      </c>
      <c r="B3" t="s">
        <v>46</v>
      </c>
    </row>
    <row r="4" spans="1:2" x14ac:dyDescent="0.25">
      <c r="A4" s="15" t="s">
        <v>15</v>
      </c>
      <c r="B4" s="12">
        <v>1290.49</v>
      </c>
    </row>
    <row r="5" spans="1:2" x14ac:dyDescent="0.25">
      <c r="A5" s="15" t="s">
        <v>9</v>
      </c>
      <c r="B5" s="12">
        <v>3693.48</v>
      </c>
    </row>
    <row r="6" spans="1:2" x14ac:dyDescent="0.25">
      <c r="A6" s="15" t="s">
        <v>12</v>
      </c>
      <c r="B6" s="12">
        <v>609.83000000000004</v>
      </c>
    </row>
    <row r="7" spans="1:2" x14ac:dyDescent="0.25">
      <c r="A7" s="15" t="s">
        <v>18</v>
      </c>
      <c r="B7" s="12">
        <v>1400</v>
      </c>
    </row>
    <row r="8" spans="1:2" x14ac:dyDescent="0.25">
      <c r="A8" s="15" t="s">
        <v>45</v>
      </c>
      <c r="B8" s="12">
        <v>6993.8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70EC-8B4E-4035-A82D-6E1C1782C9F2}">
  <dimension ref="A1:B4"/>
  <sheetViews>
    <sheetView workbookViewId="0"/>
  </sheetViews>
  <sheetFormatPr defaultRowHeight="15" x14ac:dyDescent="0.25"/>
  <cols>
    <col min="2" max="2" width="47.7109375" bestFit="1" customWidth="1"/>
  </cols>
  <sheetData>
    <row r="1" spans="1:2" x14ac:dyDescent="0.25">
      <c r="A1" t="s">
        <v>51</v>
      </c>
      <c r="B1" t="s">
        <v>47</v>
      </c>
    </row>
    <row r="2" spans="1:2" x14ac:dyDescent="0.25">
      <c r="A2">
        <v>1</v>
      </c>
      <c r="B2" t="s">
        <v>48</v>
      </c>
    </row>
    <row r="3" spans="1:2" x14ac:dyDescent="0.25">
      <c r="A3">
        <v>2</v>
      </c>
      <c r="B3" t="s">
        <v>49</v>
      </c>
    </row>
    <row r="4" spans="1:2" x14ac:dyDescent="0.25">
      <c r="A4">
        <v>3</v>
      </c>
      <c r="B4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85B2-70AB-493F-9AE2-ED0BA0BC5155}">
  <dimension ref="A1"/>
  <sheetViews>
    <sheetView tabSelected="1" workbookViewId="0"/>
  </sheetViews>
  <sheetFormatPr defaultRowHeight="15" x14ac:dyDescent="0.25"/>
  <cols>
    <col min="2" max="2" width="47.7109375" bestFit="1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E1E0-236D-4F99-8A20-35B9CEC23DAC}">
  <dimension ref="A1:K11"/>
  <sheetViews>
    <sheetView workbookViewId="0">
      <selection activeCell="B2" sqref="A1:K11"/>
    </sheetView>
  </sheetViews>
  <sheetFormatPr defaultRowHeight="15" x14ac:dyDescent="0.25"/>
  <cols>
    <col min="1" max="1" width="10.42578125" customWidth="1"/>
    <col min="2" max="2" width="19.85546875" customWidth="1"/>
    <col min="3" max="3" width="17.7109375" customWidth="1"/>
    <col min="4" max="4" width="9.28515625" bestFit="1" customWidth="1"/>
    <col min="5" max="5" width="13.85546875" style="5" customWidth="1"/>
    <col min="6" max="6" width="15.85546875" style="7" customWidth="1"/>
    <col min="7" max="7" width="11.140625" customWidth="1"/>
    <col min="8" max="8" width="15.5703125" customWidth="1"/>
    <col min="9" max="9" width="18.140625" customWidth="1"/>
    <col min="10" max="10" width="10.5703125" bestFit="1" customWidth="1"/>
    <col min="11" max="11" width="12.42578125" bestFit="1" customWidth="1"/>
  </cols>
  <sheetData>
    <row r="1" spans="1:11" ht="33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35</v>
      </c>
      <c r="F1" s="10" t="s">
        <v>4</v>
      </c>
      <c r="G1" s="8" t="s">
        <v>5</v>
      </c>
      <c r="H1" s="8" t="s">
        <v>6</v>
      </c>
      <c r="I1" s="11" t="s">
        <v>7</v>
      </c>
      <c r="J1" s="11" t="s">
        <v>42</v>
      </c>
      <c r="K1" s="11" t="s">
        <v>43</v>
      </c>
    </row>
    <row r="2" spans="1:11" ht="16.5" x14ac:dyDescent="0.25">
      <c r="A2" s="2">
        <v>1001</v>
      </c>
      <c r="B2" s="1" t="s">
        <v>20</v>
      </c>
      <c r="C2" s="1" t="s">
        <v>8</v>
      </c>
      <c r="D2" s="2">
        <v>2</v>
      </c>
      <c r="E2" s="4" t="s">
        <v>36</v>
      </c>
      <c r="F2" s="6">
        <v>45488</v>
      </c>
      <c r="G2" s="1" t="s">
        <v>9</v>
      </c>
      <c r="H2" s="1" t="s">
        <v>10</v>
      </c>
      <c r="I2" t="s">
        <v>26</v>
      </c>
      <c r="J2" s="13">
        <f>D2*E2</f>
        <v>2401</v>
      </c>
      <c r="K2">
        <f>MONTH(F2)</f>
        <v>7</v>
      </c>
    </row>
    <row r="3" spans="1:11" ht="16.5" x14ac:dyDescent="0.25">
      <c r="A3" s="2">
        <v>1002</v>
      </c>
      <c r="B3" s="1" t="s">
        <v>21</v>
      </c>
      <c r="C3" s="1" t="s">
        <v>11</v>
      </c>
      <c r="D3" s="2">
        <v>5</v>
      </c>
      <c r="E3" s="4" t="s">
        <v>37</v>
      </c>
      <c r="F3" s="6">
        <v>45366</v>
      </c>
      <c r="G3" s="1" t="s">
        <v>12</v>
      </c>
      <c r="H3" s="1" t="s">
        <v>13</v>
      </c>
      <c r="I3" t="s">
        <v>27</v>
      </c>
      <c r="J3" s="13">
        <f t="shared" ref="J3:J11" si="0">D3*E3</f>
        <v>229.95000000000002</v>
      </c>
      <c r="K3">
        <f t="shared" ref="K3:K11" si="1">MONTH(F3)</f>
        <v>3</v>
      </c>
    </row>
    <row r="4" spans="1:11" ht="16.5" x14ac:dyDescent="0.25">
      <c r="A4" s="2">
        <v>1003</v>
      </c>
      <c r="B4" s="1" t="s">
        <v>22</v>
      </c>
      <c r="C4" s="1" t="s">
        <v>14</v>
      </c>
      <c r="D4" s="2">
        <v>1</v>
      </c>
      <c r="E4" s="4" t="s">
        <v>38</v>
      </c>
      <c r="F4" s="6">
        <v>45367</v>
      </c>
      <c r="G4" s="1" t="s">
        <v>15</v>
      </c>
      <c r="H4" s="1" t="s">
        <v>10</v>
      </c>
      <c r="I4" t="s">
        <v>28</v>
      </c>
      <c r="J4" s="13">
        <f t="shared" si="0"/>
        <v>89.99</v>
      </c>
      <c r="K4">
        <f t="shared" si="1"/>
        <v>3</v>
      </c>
    </row>
    <row r="5" spans="1:11" ht="16.5" x14ac:dyDescent="0.25">
      <c r="A5" s="2">
        <v>1004</v>
      </c>
      <c r="B5" s="1" t="s">
        <v>23</v>
      </c>
      <c r="C5" s="1" t="s">
        <v>8</v>
      </c>
      <c r="D5" s="2">
        <v>1</v>
      </c>
      <c r="E5" s="4" t="s">
        <v>36</v>
      </c>
      <c r="F5" s="6">
        <v>45549</v>
      </c>
      <c r="G5" s="1" t="s">
        <v>9</v>
      </c>
      <c r="H5" s="1" t="s">
        <v>16</v>
      </c>
      <c r="I5" t="s">
        <v>29</v>
      </c>
      <c r="J5" s="13">
        <f t="shared" si="0"/>
        <v>1200.5</v>
      </c>
      <c r="K5">
        <f t="shared" si="1"/>
        <v>9</v>
      </c>
    </row>
    <row r="6" spans="1:11" ht="16.5" x14ac:dyDescent="0.25">
      <c r="A6" s="2">
        <v>1005</v>
      </c>
      <c r="B6" s="1" t="s">
        <v>17</v>
      </c>
      <c r="C6" s="1" t="s">
        <v>33</v>
      </c>
      <c r="D6" s="2">
        <v>3</v>
      </c>
      <c r="E6" s="4" t="s">
        <v>39</v>
      </c>
      <c r="F6" s="6">
        <v>45580</v>
      </c>
      <c r="G6" s="1" t="s">
        <v>18</v>
      </c>
      <c r="H6" s="1" t="s">
        <v>10</v>
      </c>
      <c r="I6" t="s">
        <v>29</v>
      </c>
      <c r="J6" s="13">
        <f t="shared" si="0"/>
        <v>1050</v>
      </c>
      <c r="K6">
        <f t="shared" si="1"/>
        <v>10</v>
      </c>
    </row>
    <row r="7" spans="1:11" ht="16.5" x14ac:dyDescent="0.25">
      <c r="A7" s="2">
        <v>1006</v>
      </c>
      <c r="B7" s="1" t="s">
        <v>24</v>
      </c>
      <c r="C7" s="1" t="s">
        <v>34</v>
      </c>
      <c r="D7" s="2">
        <v>10</v>
      </c>
      <c r="E7" s="4" t="s">
        <v>40</v>
      </c>
      <c r="F7" s="6">
        <v>45610</v>
      </c>
      <c r="G7" s="1" t="s">
        <v>12</v>
      </c>
      <c r="H7" s="1" t="s">
        <v>19</v>
      </c>
      <c r="I7" t="s">
        <v>30</v>
      </c>
      <c r="J7" s="13">
        <f t="shared" si="0"/>
        <v>199.89999999999998</v>
      </c>
      <c r="K7">
        <f t="shared" si="1"/>
        <v>11</v>
      </c>
    </row>
    <row r="8" spans="1:11" ht="16.5" x14ac:dyDescent="0.25">
      <c r="A8" s="2">
        <v>1007</v>
      </c>
      <c r="B8" s="1" t="s">
        <v>41</v>
      </c>
      <c r="C8" s="1" t="s">
        <v>8</v>
      </c>
      <c r="D8" s="2">
        <v>1</v>
      </c>
      <c r="E8" s="4" t="s">
        <v>36</v>
      </c>
      <c r="F8" s="6">
        <v>45641</v>
      </c>
      <c r="G8" s="1" t="s">
        <v>15</v>
      </c>
      <c r="H8" s="1" t="s">
        <v>10</v>
      </c>
      <c r="I8" t="s">
        <v>31</v>
      </c>
      <c r="J8" s="13">
        <f t="shared" si="0"/>
        <v>1200.5</v>
      </c>
      <c r="K8">
        <f t="shared" si="1"/>
        <v>12</v>
      </c>
    </row>
    <row r="9" spans="1:11" ht="16.5" x14ac:dyDescent="0.25">
      <c r="A9" s="2">
        <v>1008</v>
      </c>
      <c r="B9" s="1" t="s">
        <v>25</v>
      </c>
      <c r="C9" s="1" t="s">
        <v>11</v>
      </c>
      <c r="D9" s="2">
        <v>2</v>
      </c>
      <c r="E9" s="4" t="s">
        <v>37</v>
      </c>
      <c r="F9" s="6">
        <v>45305</v>
      </c>
      <c r="G9" s="1" t="s">
        <v>9</v>
      </c>
      <c r="H9" s="1" t="s">
        <v>13</v>
      </c>
      <c r="I9" t="s">
        <v>29</v>
      </c>
      <c r="J9" s="13">
        <f t="shared" si="0"/>
        <v>91.98</v>
      </c>
      <c r="K9">
        <f t="shared" si="1"/>
        <v>1</v>
      </c>
    </row>
    <row r="10" spans="1:11" ht="16.5" x14ac:dyDescent="0.25">
      <c r="A10" s="2">
        <v>1009</v>
      </c>
      <c r="B10" s="1" t="s">
        <v>21</v>
      </c>
      <c r="C10" s="1" t="s">
        <v>14</v>
      </c>
      <c r="D10" s="2">
        <v>2</v>
      </c>
      <c r="E10" s="4" t="s">
        <v>38</v>
      </c>
      <c r="F10" s="6">
        <v>45336</v>
      </c>
      <c r="G10" s="1" t="s">
        <v>12</v>
      </c>
      <c r="H10" s="1" t="s">
        <v>10</v>
      </c>
      <c r="I10" t="s">
        <v>32</v>
      </c>
      <c r="J10" s="13">
        <f t="shared" si="0"/>
        <v>179.98</v>
      </c>
      <c r="K10">
        <f t="shared" si="1"/>
        <v>2</v>
      </c>
    </row>
    <row r="11" spans="1:11" ht="16.5" x14ac:dyDescent="0.25">
      <c r="A11" s="3">
        <v>1010</v>
      </c>
      <c r="B11" s="1" t="s">
        <v>20</v>
      </c>
      <c r="C11" s="1" t="s">
        <v>33</v>
      </c>
      <c r="D11" s="3">
        <v>1</v>
      </c>
      <c r="E11" s="4" t="s">
        <v>39</v>
      </c>
      <c r="F11" s="6">
        <v>45367</v>
      </c>
      <c r="G11" s="1" t="s">
        <v>18</v>
      </c>
      <c r="H11" s="1" t="s">
        <v>10</v>
      </c>
      <c r="I11" t="s">
        <v>29</v>
      </c>
      <c r="J11" s="13">
        <f t="shared" si="0"/>
        <v>350</v>
      </c>
      <c r="K11">
        <f t="shared" si="1"/>
        <v>3</v>
      </c>
    </row>
  </sheetData>
  <pageMargins left="0.7" right="0.7" top="0.75" bottom="0.75" header="0.3" footer="0.3"/>
  <ignoredErrors>
    <ignoredError sqref="E2:E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819F0C-0D8C-4A0A-8542-AC146EE76B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insights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Sakshyam Pudasaini</dc:creator>
  <cp:lastModifiedBy>Sakshyam Pudasaini</cp:lastModifiedBy>
  <dcterms:created xsi:type="dcterms:W3CDTF">2025-12-17T11:24:50Z</dcterms:created>
  <dcterms:modified xsi:type="dcterms:W3CDTF">2025-12-17T14:21:21Z</dcterms:modified>
</cp:coreProperties>
</file>